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/>
  <workbookPr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ae710ee737df902c/Obsidian/01 - Projects/03 Work/INEP ! Processo de avaliação/avaliaINEP/src/public/docs/"/>
    </mc:Choice>
  </mc:AlternateContent>
  <xr:revisionPtr revIDLastSave="0" documentId="13_ncr:3_{BCDD50FA-DD80-4EDB-B9ED-3BA4B84F8DC4}" xr6:coauthVersionLast="47" xr6:coauthVersionMax="47" xr10:uidLastSave="{00000000-0000-0000-0000-000000000000}"/>
  <bookViews>
    <workbookView xWindow="-110" yWindow="-110" windowWidth="25820" windowHeight="15500" xr2:uid="{E598FCE4-1D49-475A-AE29-35C68B452371}"/>
  </bookViews>
  <sheets>
    <sheet name="Planilha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" i="1" l="1"/>
  <c r="B8" i="1"/>
  <c r="B12" i="1"/>
  <c r="B13" i="1"/>
  <c r="B14" i="1"/>
  <c r="C6" i="1" s="1"/>
  <c r="D4" i="1" l="1"/>
</calcChain>
</file>

<file path=xl/sharedStrings.xml><?xml version="1.0" encoding="utf-8"?>
<sst xmlns="http://schemas.openxmlformats.org/spreadsheetml/2006/main" count="14" uniqueCount="13">
  <si>
    <t>Planilha IQCD</t>
  </si>
  <si>
    <t>Doutores</t>
  </si>
  <si>
    <t>Mestres</t>
  </si>
  <si>
    <t>Graduados</t>
  </si>
  <si>
    <t>Especialistas</t>
  </si>
  <si>
    <t>IQCD =</t>
  </si>
  <si>
    <t>Titulação</t>
  </si>
  <si>
    <t>Quantidade</t>
  </si>
  <si>
    <t>((5xD)+(3xM)+(2xE)+G)/(D+M+E+G)=</t>
  </si>
  <si>
    <t>Quantitativo Strictu Sensu</t>
  </si>
  <si>
    <t>Total</t>
  </si>
  <si>
    <t>Fórmulas aplicadas</t>
  </si>
  <si>
    <t>* Planilha bloqueada, mas sem senha.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</si>
</sst>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b/>
      <sz val="15"/>
      <color theme="3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i/>
      <sz val="11"/>
      <color theme="6"/>
      <name val="Aptos Narrow"/>
      <family val="2"/>
      <scheme val="minor"/>
    </font>
    <font>
      <i/>
      <sz val="8"/>
      <color theme="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/>
      </patternFill>
    </fill>
    <fill>
      <patternFill patternType="solid">
        <fgColor theme="5" tint="0.59999389629810485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theme="5"/>
      </left>
      <right/>
      <top style="thin">
        <color theme="5"/>
      </top>
      <bottom/>
      <diagonal/>
    </border>
    <border>
      <left/>
      <right style="thin">
        <color theme="5"/>
      </right>
      <top style="thin">
        <color theme="5"/>
      </top>
      <bottom/>
      <diagonal/>
    </border>
    <border>
      <left style="thin">
        <color theme="5"/>
      </left>
      <right style="thin">
        <color theme="5"/>
      </right>
      <top style="thin">
        <color theme="5"/>
      </top>
      <bottom/>
      <diagonal/>
    </border>
    <border>
      <left style="thin">
        <color theme="5"/>
      </left>
      <right/>
      <top/>
      <bottom style="thin">
        <color theme="5"/>
      </bottom>
      <diagonal/>
    </border>
    <border>
      <left/>
      <right style="thin">
        <color theme="5"/>
      </right>
      <top/>
      <bottom style="thin">
        <color theme="5"/>
      </bottom>
      <diagonal/>
    </border>
    <border>
      <left style="thin">
        <color theme="5"/>
      </left>
      <right style="thin">
        <color theme="5"/>
      </right>
      <top/>
      <bottom style="thin">
        <color theme="5"/>
      </bottom>
      <diagonal/>
    </border>
    <border>
      <left style="thin">
        <color theme="5"/>
      </left>
      <right/>
      <top/>
      <bottom/>
      <diagonal/>
    </border>
    <border>
      <left/>
      <right style="thin">
        <color theme="5"/>
      </right>
      <top/>
      <bottom/>
      <diagonal/>
    </border>
  </borders>
  <cellStyleXfs count="5">
    <xf numFmtId="0" fontId="0" fillId="0" borderId="0"/>
    <xf numFmtId="0" fontId="1" fillId="0" borderId="1" applyNumberFormat="0" applyFill="0" applyAlignment="0" applyProtection="0"/>
    <xf numFmtId="9" fontId="2" fillId="0" borderId="0" applyFont="0" applyFill="0" applyBorder="0" applyAlignment="0" applyProtection="0"/>
    <xf numFmtId="0" fontId="6" fillId="2" borderId="0" applyNumberFormat="0" applyBorder="0" applyAlignment="0" applyProtection="0"/>
    <xf numFmtId="0" fontId="2" fillId="3" borderId="0" applyNumberFormat="0" applyBorder="0" applyAlignment="0" applyProtection="0"/>
  </cellStyleXfs>
  <cellXfs count="24">
    <xf numFmtId="0" fontId="0" fillId="0" borderId="0" xfId="0"/>
    <xf numFmtId="0" fontId="1" fillId="0" borderId="1" xfId="1"/>
    <xf numFmtId="9" fontId="0" fillId="0" borderId="0" xfId="2" applyFont="1"/>
    <xf numFmtId="0" fontId="0" fillId="0" borderId="0" xfId="0" applyAlignment="1">
      <alignment horizontal="right"/>
    </xf>
    <xf numFmtId="0" fontId="3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4" fillId="2" borderId="0" xfId="3" applyFont="1" applyAlignment="1">
      <alignment horizontal="center"/>
    </xf>
    <xf numFmtId="0" fontId="5" fillId="3" borderId="0" xfId="4" applyFont="1" applyAlignment="1">
      <alignment horizontal="left"/>
    </xf>
    <xf numFmtId="0" fontId="5" fillId="0" borderId="0" xfId="0" applyFont="1" applyAlignment="1">
      <alignment horizontal="right"/>
    </xf>
    <xf numFmtId="2" fontId="5" fillId="0" borderId="0" xfId="0" applyNumberFormat="1" applyFont="1" applyAlignment="1">
      <alignment horizontal="left"/>
    </xf>
    <xf numFmtId="2" fontId="7" fillId="0" borderId="2" xfId="0" applyNumberFormat="1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9" fontId="5" fillId="0" borderId="4" xfId="2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9" fontId="5" fillId="0" borderId="7" xfId="2" applyFont="1" applyBorder="1" applyAlignment="1">
      <alignment horizontal="center" vertical="center"/>
    </xf>
    <xf numFmtId="0" fontId="5" fillId="0" borderId="0" xfId="0" applyFont="1"/>
    <xf numFmtId="0" fontId="8" fillId="0" borderId="0" xfId="0" applyFont="1" applyAlignment="1" applyProtection="1">
      <alignment horizontal="center"/>
      <protection locked="0"/>
    </xf>
    <xf numFmtId="0" fontId="9" fillId="0" borderId="0" xfId="0" applyFont="1"/>
  </cellXfs>
  <cellStyles count="5">
    <cellStyle name="40% - Ênfase2" xfId="4" builtinId="35"/>
    <cellStyle name="Ênfase2" xfId="3" builtinId="33"/>
    <cellStyle name="Normal" xfId="0" builtinId="0"/>
    <cellStyle name="Porcentagem" xfId="2" builtinId="5"/>
    <cellStyle name="Título 1" xfId="1" builtinId="16"/>
  </cellStyles>
  <dxfs count="3">
    <dxf>
      <alignment horizontal="center" vertical="bottom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theme="6"/>
        <name val="Aptos Narrow"/>
        <family val="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b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B61280E-5DF2-41D5-B35D-639DD710C5E9}" name="Tabela1" displayName="Tabela1" ref="A3:B8" totalsRowCount="1">
  <autoFilter ref="A3:B7" xr:uid="{8B61280E-5DF2-41D5-B35D-639DD710C5E9}"/>
  <tableColumns count="2">
    <tableColumn id="1" xr3:uid="{0DB07458-9148-4E07-AB1F-79E37717AC83}" name="Titulação" totalsRowLabel="Total" dataDxfId="2"/>
    <tableColumn id="2" xr3:uid="{099FC198-27C2-4EF6-90E5-7D2C1E506B13}" name="Quantidade" totalsRowFunction="sum" dataDxfId="1" totalsRowDxfId="0"/>
  </tableColumns>
  <tableStyleInfo name="TableStyleLight10" showFirstColumn="0" showLastColumn="0" showRowStripes="1" showColumnStripes="1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23880A-EC28-4B36-B15F-1FE242C6B4BA}">
  <dimension ref="A1:J16"/>
  <sheetViews>
    <sheetView showGridLines="0" tabSelected="1" zoomScale="160" zoomScaleNormal="160" workbookViewId="0">
      <selection activeCell="B4" sqref="B4"/>
    </sheetView>
  </sheetViews>
  <sheetFormatPr defaultRowHeight="14.5" x14ac:dyDescent="0.35"/>
  <cols>
    <col min="1" max="1" width="18" customWidth="1"/>
    <col min="2" max="2" width="13" style="5" customWidth="1"/>
    <col min="3" max="3" width="9.26953125" customWidth="1"/>
    <col min="4" max="4" width="14.26953125" customWidth="1"/>
  </cols>
  <sheetData>
    <row r="1" spans="1:10" ht="20" thickBot="1" x14ac:dyDescent="0.5">
      <c r="A1" s="1" t="s">
        <v>0</v>
      </c>
    </row>
    <row r="2" spans="1:10" ht="15" thickTop="1" x14ac:dyDescent="0.35"/>
    <row r="3" spans="1:10" x14ac:dyDescent="0.35">
      <c r="A3" t="s">
        <v>6</v>
      </c>
      <c r="B3" s="5" t="s">
        <v>7</v>
      </c>
      <c r="C3" s="7" t="s">
        <v>9</v>
      </c>
      <c r="D3" s="7"/>
    </row>
    <row r="4" spans="1:10" x14ac:dyDescent="0.35">
      <c r="A4" s="21" t="s">
        <v>1</v>
      </c>
      <c r="B4" s="22">
        <v>2</v>
      </c>
      <c r="C4" s="17">
        <f>SUM(B4:B5)</f>
        <v>5</v>
      </c>
      <c r="D4" s="18">
        <f>(C4*100%)/Tabela1[[#Totals],[Quantidade]]</f>
        <v>0.5</v>
      </c>
      <c r="I4" s="2"/>
      <c r="J4" s="4"/>
    </row>
    <row r="5" spans="1:10" x14ac:dyDescent="0.35">
      <c r="A5" s="21" t="s">
        <v>2</v>
      </c>
      <c r="B5" s="22">
        <v>3</v>
      </c>
      <c r="C5" s="19"/>
      <c r="D5" s="20"/>
      <c r="H5" s="4"/>
      <c r="I5" s="3"/>
      <c r="J5" s="3"/>
    </row>
    <row r="6" spans="1:10" x14ac:dyDescent="0.35">
      <c r="A6" s="21" t="s">
        <v>4</v>
      </c>
      <c r="B6" s="22">
        <v>2</v>
      </c>
      <c r="C6" s="11" t="str">
        <f>_xlfn.CONCAT("IQCD = ",TEXT(B14,"#,##"))</f>
        <v>IQCD = 2,6</v>
      </c>
      <c r="D6" s="12"/>
    </row>
    <row r="7" spans="1:10" x14ac:dyDescent="0.35">
      <c r="A7" s="21" t="s">
        <v>3</v>
      </c>
      <c r="B7" s="22">
        <v>3</v>
      </c>
      <c r="C7" s="13"/>
      <c r="D7" s="14"/>
    </row>
    <row r="8" spans="1:10" x14ac:dyDescent="0.35">
      <c r="A8" t="s">
        <v>10</v>
      </c>
      <c r="B8" s="5">
        <f>SUBTOTAL(109,Tabela1[Quantidade])</f>
        <v>10</v>
      </c>
      <c r="C8" s="15"/>
      <c r="D8" s="16"/>
    </row>
    <row r="10" spans="1:10" x14ac:dyDescent="0.35">
      <c r="A10" s="8" t="s">
        <v>11</v>
      </c>
      <c r="B10" s="8"/>
      <c r="C10" s="8"/>
      <c r="D10" s="8"/>
    </row>
    <row r="11" spans="1:10" x14ac:dyDescent="0.35">
      <c r="A11" s="9" t="s">
        <v>5</v>
      </c>
      <c r="B11" s="6" t="s">
        <v>8</v>
      </c>
    </row>
    <row r="12" spans="1:10" x14ac:dyDescent="0.35">
      <c r="A12" s="9"/>
      <c r="B12" s="6" t="str">
        <f>_xlfn.CONCAT("((5x",TEXT(B4,"0"),")+(3x",TEXT(B5,"0"),")+(2x",TEXT(B6,"0"),")+",TEXT(B7,"0"),")/(",TEXT(B4,"0"),"+",TEXT(B5,"0"),"+",TEXT(B6,"0"),"+",TEXT(B7,"0"),")=")</f>
        <v>((5x2)+(3x3)+(2x2)+3)/(2+3+2+3)=</v>
      </c>
    </row>
    <row r="13" spans="1:10" x14ac:dyDescent="0.35">
      <c r="A13" s="9"/>
      <c r="B13" s="6" t="str">
        <f>_xlfn.CONCAT(TEXT((5*B4)+(3*B5)+(2*B6)+B7,"0"),"/",TEXT(SUM(B4:B7),"0"))</f>
        <v>26/10</v>
      </c>
    </row>
    <row r="14" spans="1:10" x14ac:dyDescent="0.35">
      <c r="A14" s="9" t="s">
        <v>5</v>
      </c>
      <c r="B14" s="10">
        <f>((5*B4)+(3*B5)+(2*B6)+B7)/(B4+B5+B6+B7)</f>
        <v>2.6</v>
      </c>
    </row>
    <row r="16" spans="1:10" x14ac:dyDescent="0.35">
      <c r="A16" s="23" t="s">
        <v>12</v>
      </c>
    </row>
  </sheetData>
  <sheetProtection sheet="1" objects="1" scenarios="1" selectLockedCells="1"/>
  <mergeCells count="5">
    <mergeCell ref="C4:C5"/>
    <mergeCell ref="D4:D5"/>
    <mergeCell ref="C3:D3"/>
    <mergeCell ref="A10:D10"/>
    <mergeCell ref="C6:D8"/>
  </mergeCells>
  <pageMargins left="0.511811024" right="0.511811024" top="0.78740157499999996" bottom="0.78740157499999996" header="0.31496062000000002" footer="0.31496062000000002"/>
  <pageSetup paperSize="34" orientation="portrait" horizontalDpi="1200" verticalDpi="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Maxwell Anderson</dc:creator>
  <cp:lastModifiedBy>Maxwell Anderson</cp:lastModifiedBy>
  <dcterms:created xsi:type="dcterms:W3CDTF">2023-09-24T23:41:19Z</dcterms:created>
  <dcterms:modified xsi:type="dcterms:W3CDTF">2025-04-27T19:10:58Z</dcterms:modified>
</cp:coreProperties>
</file>